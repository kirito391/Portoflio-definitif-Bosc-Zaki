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haredStrings.xml" ContentType="application/vnd.openxmlformats-officedocument.spreadsheetml.sharedStrings+xml"/>
  <Default Extension="png" ContentType="image/png"/>
  <Default Extension="jpeg" ContentType="image/jpeg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">
  <fileVersion appName="Calc"/>
  <workbookPr/>
  <bookViews>
    <workbookView xWindow="0" yWindow="0" windowWidth="16384" windowHeight="8192" tabRatio="500" activeTab="0"/>
  </bookViews>
  <sheets>
    <sheet name="Ventes" sheetId="1" r:id="rId3"/>
    <sheet name="Clients" sheetId="2" r:id="rId4"/>
    <sheet name="Analyse" sheetId="3" r:id="rId5"/>
  </sheets>
  <definedNames/>
  <calcPr calcId="0"/>
</workbook>
</file>

<file path=xl/calcChain.xml><?xml version="1.0" encoding="utf-8"?>
<calcChain xmlns="http://schemas.openxmlformats.org/spreadsheetml/2006/main">
  <c r="B2" i="3" l="1"/>
</calcChain>
</file>

<file path=xl/sharedStrings.xml><?xml version="1.0" encoding="utf-8"?>
<sst xmlns="http://schemas.openxmlformats.org/spreadsheetml/2006/main" count="44" uniqueCount="38">
  <si>
    <t>Mois</t>
  </si>
  <si>
    <t>CA Europe</t>
  </si>
  <si>
    <t>CA Amérique</t>
  </si>
  <si>
    <t>CA Afrique</t>
  </si>
  <si>
    <t>CA Total mensuel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</si>
  <si>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</si>
  <si>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</si>
  <si>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</si>
  <si>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</si>
  <si>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</si>
  <si>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</si>
  <si>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</si>
  <si>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</si>
  <si>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</si>
  <si>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</si>
  <si>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</si>
  <si>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</si>
  <si>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Total annuel du CA</t>
  </si>
  <si>
    <t>Moyenne mensuelle</t>
  </si>
  <si>
    <t>CA minimum</t>
  </si>
  <si>
    <t>CA maximum</t>
  </si>
  <si>
    <t>Écart-type du CA total</t>
  </si>
  <si>
    <t>Code client</t>
  </si>
  <si>
    <t>Nom du client</t>
  </si>
  <si>
    <t>Zone géographique</t>
  </si>
  <si>
    <t>C001</t>
  </si>
  <si>
    <t>Alpha</t>
  </si>
  <si>
    <t>Europe</t>
  </si>
  <si>
    <t>C002</t>
  </si>
  <si>
    <t>Beta</t>
  </si>
  <si>
    <t>Amérique</t>
  </si>
  <si>
    <t>C003</t>
  </si>
  <si>
    <t>Gamma</t>
  </si>
  <si>
    <t>Afrique</t>
  </si>
  <si>
    <t>C004</t>
  </si>
  <si>
    <t>Delta</t>
  </si>
  <si>
    <t>C005</t>
  </si>
  <si>
    <t>Epsilon</t>
  </si>
</sst>
</file>

<file path=xl/styles.xml><?xml version="1.0" encoding="utf-8"?>
<styleSheet xmlns="http://schemas.openxmlformats.org/spreadsheetml/2006/main">
  <numFmts count="1">
    <numFmt numFmtId="164" formatCode="General"/>
  </numFmts>
  <fonts count="8">
    <font>
      <sz val="11"/>
      <color theme="1"/>
      <name val="Calibri"/>
      <family val="2"/>
      <charset val="1"/>
    </font>
    <font>
      <sz val="10"/>
      <color theme="1"/>
      <name val="Arial"/>
      <family val="2"/>
    </font>
    <font>
      <sz val="10"/>
      <name val="Arial"/>
      <family val="0"/>
    </font>
    <font>
      <b/>
      <sz val="18"/>
      <color rgb="FF000000"/>
      <name val="Calibri"/>
      <family val="2"/>
    </font>
    <font>
      <sz val="10"/>
      <color rgb="FF000000"/>
      <name val="Calibri"/>
      <family val="2"/>
    </font>
    <font>
      <b/>
      <sz val="10"/>
      <color rgb="FF000000"/>
      <name val="Calibri"/>
      <family val="2"/>
    </font>
    <font>
      <sz val="10"/>
      <name val="Arial"/>
      <family val="2"/>
    </font>
    <font>
      <sz val="10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0">
    <xf numFmtId="164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2" fillId="0" borderId="0" applyBorder="0" applyAlignment="0" applyProtection="0">
      <alignment/>
    </xf>
    <xf numFmtId="44" fontId="2" fillId="0" borderId="0" applyBorder="0" applyAlignment="0" applyProtection="0">
      <alignment/>
    </xf>
    <xf numFmtId="42" fontId="2" fillId="0" borderId="0" applyBorder="0" applyAlignment="0" applyProtection="0">
      <alignment/>
    </xf>
    <xf numFmtId="43" fontId="2" fillId="0" borderId="0" applyBorder="0" applyAlignment="0" applyProtection="0">
      <alignment/>
    </xf>
    <xf numFmtId="41" fontId="2" fillId="0" borderId="0" applyBorder="0" applyAlignment="0" applyProtection="0">
      <alignment/>
    </xf>
  </cellStyleXfs>
  <cellXfs count="3">
    <xf numFmtId="164" fontId="0" fillId="0" borderId="0" xfId="0">
      <alignment/>
    </xf>
    <xf numFmtId="164" fontId="0" fillId="0" borderId="0" xfId="0" applyFont="1">
      <alignment/>
    </xf>
    <xf numFmtId="164" fontId="0" fillId="2" borderId="0" xfId="0" applyFont="1">
      <alignment/>
    </xf>
  </cellXfs>
  <cellStyles count="6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</cell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C0504D"/>
      <rgbColor rgb="00FFFFCC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4F81BD"/>
      <rgbColor rgb="0033CCCC"/>
      <rgbColor rgb="009BBB59"/>
      <rgbColor rgb="00FFCC00"/>
      <rgbColor rgb="00FF9900"/>
      <rgbColor rgb="00FF6600"/>
      <rgbColor rgb="004A7EBB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theme" Target="theme/theme1.xml" /><Relationship Id="rId2" Type="http://schemas.openxmlformats.org/officeDocument/2006/relationships/styles" Target="styles.xml" /><Relationship Id="rId3" Type="http://schemas.openxmlformats.org/officeDocument/2006/relationships/worksheet" Target="worksheets/sheet1.xml" /><Relationship Id="rId5" Type="http://schemas.openxmlformats.org/officeDocument/2006/relationships/worksheet" Target="worksheets/sheet3.xml" /><Relationship Id="rId7" Type="http://schemas.openxmlformats.org/officeDocument/2006/relationships/calcChain" Target="calcChain.xml" /><Relationship Id="rId4" Type="http://schemas.openxmlformats.org/officeDocument/2006/relationships/worksheet" Target="worksheets/sheet2.xml" /><Relationship Id="rId6" Type="http://schemas.openxmlformats.org/officeDocument/2006/relationships/sharedStrings" Target="sharedStrings.xml" 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vert="horz" rot="0" wrap="square"/>
          <a:lstStyle/>
          <a:p>
            <a:pPr>
              <a:defRPr lang="en-US" sz="1800" b="1" u="none" baseline="0">
                <a:solidFill>
                  <a:srgbClr val="000000"/>
                </a:solidFill>
                <a:latin typeface="Calibri"/>
                <a:ea typeface="Calibri"/>
              </a:defRPr>
            </a:pPr>
            <a:r>
              <a:rPr lang="en-US"/>
              <a:t>Comparaison du CA par zone géographique</a:t>
            </a:r>
          </a:p>
        </c:rich>
      </c:tx>
      <c:layout/>
      <c:overlay val="0"/>
      <c:spPr>
        <a:noFill/>
        <a:ln w="0"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Ventes!$B$1</c:f>
              <c:strCache>
                <c:ptCount val="1"/>
                <c:pt idx="0">
                  <c:v>CA Europe</c:v>
                </c:pt>
              </c:strCache>
            </c:strRef>
          </c:tx>
          <c:spPr>
            <a:solidFill>
              <a:srgbClr val="4F81BD"/>
            </a:solidFill>
            <a:ln w="12600">
              <a:noFill/>
            </a:ln>
            <a:effectLst/>
          </c:spPr>
          <c:invertIfNegative val="0"/>
          <c:dLbls>
            <c:numFmt formatCode="General" sourceLinked="1"/>
            <c:txPr>
              <a:bodyPr vert="horz" rot="0" wrap="none"/>
              <a:lstStyle/>
              <a:p>
                <a:pPr algn="ctr">
                  <a:defRPr lang="en-US" sz="1000" b="0" u="none" baseline="0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1"/>
            <c:separator> </c:separator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0" cap="flat" cmpd="sng">
                      <a:solidFill>
                        <a:srgbClr val="000000"/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Ventes!$A$2:$A$13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Ventes!$B$2:$B$13</c:f>
              <c:numCache>
                <c:formatCode>General</c:formatCode>
                <c:ptCount val="12"/>
                <c:pt idx="0">
                  <c:v>12000</c:v>
                </c:pt>
                <c:pt idx="1">
                  <c:v>13000</c:v>
                </c:pt>
                <c:pt idx="2">
                  <c:v>12500</c:v>
                </c:pt>
                <c:pt idx="3">
                  <c:v>14000</c:v>
                </c:pt>
                <c:pt idx="4">
                  <c:v>15000</c:v>
                </c:pt>
                <c:pt idx="5">
                  <c:v>16000</c:v>
                </c:pt>
                <c:pt idx="6">
                  <c:v>15500</c:v>
                </c:pt>
                <c:pt idx="7">
                  <c:v>15800</c:v>
                </c:pt>
                <c:pt idx="8">
                  <c:v>16200</c:v>
                </c:pt>
                <c:pt idx="9">
                  <c:v>17000</c:v>
                </c:pt>
                <c:pt idx="10">
                  <c:v>17500</c:v>
                </c:pt>
                <c:pt idx="11">
                  <c:v>18000</c:v>
                </c:pt>
              </c:numCache>
            </c:numRef>
          </c:val>
        </c:ser>
        <c:ser>
          <c:idx val="1"/>
          <c:order val="1"/>
          <c:tx>
            <c:strRef>
              <c:f>Ventes!$C$1</c:f>
              <c:strCache>
                <c:ptCount val="1"/>
                <c:pt idx="0">
                  <c:v>CA Amérique</c:v>
                </c:pt>
              </c:strCache>
            </c:strRef>
          </c:tx>
          <c:spPr>
            <a:solidFill>
              <a:srgbClr val="C0504D"/>
            </a:solidFill>
            <a:ln w="12600">
              <a:noFill/>
            </a:ln>
            <a:effectLst/>
          </c:spPr>
          <c:invertIfNegative val="0"/>
          <c:dLbls>
            <c:numFmt formatCode="General" sourceLinked="1"/>
            <c:txPr>
              <a:bodyPr vert="horz" rot="0" wrap="none"/>
              <a:lstStyle/>
              <a:p>
                <a:pPr algn="ctr">
                  <a:defRPr lang="en-US" sz="1000" b="0" u="none" baseline="0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1"/>
            <c:separator> </c:separator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0" cap="flat" cmpd="sng">
                      <a:solidFill>
                        <a:srgbClr val="000000"/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Ventes!$A$2:$A$13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Ventes!$C$2:$C$13</c:f>
              <c:numCache>
                <c:formatCode>General</c:formatCode>
                <c:ptCount val="12"/>
                <c:pt idx="0">
                  <c:v>15000</c:v>
                </c:pt>
                <c:pt idx="1">
                  <c:v>14000</c:v>
                </c:pt>
                <c:pt idx="2">
                  <c:v>16000</c:v>
                </c:pt>
                <c:pt idx="3">
                  <c:v>15500</c:v>
                </c:pt>
                <c:pt idx="4">
                  <c:v>16500</c:v>
                </c:pt>
                <c:pt idx="5">
                  <c:v>17000</c:v>
                </c:pt>
                <c:pt idx="6">
                  <c:v>16800</c:v>
                </c:pt>
                <c:pt idx="7">
                  <c:v>17200</c:v>
                </c:pt>
                <c:pt idx="8">
                  <c:v>17500</c:v>
                </c:pt>
                <c:pt idx="9">
                  <c:v>18000</c:v>
                </c:pt>
                <c:pt idx="10">
                  <c:v>18500</c:v>
                </c:pt>
                <c:pt idx="11">
                  <c:v>19000</c:v>
                </c:pt>
              </c:numCache>
            </c:numRef>
          </c:val>
        </c:ser>
        <c:ser>
          <c:idx val="2"/>
          <c:order val="2"/>
          <c:tx>
            <c:strRef>
              <c:f>Ventes!$D$1</c:f>
              <c:strCache>
                <c:ptCount val="1"/>
                <c:pt idx="0">
                  <c:v>CA Afrique</c:v>
                </c:pt>
              </c:strCache>
            </c:strRef>
          </c:tx>
          <c:spPr>
            <a:solidFill>
              <a:srgbClr val="9BBB59"/>
            </a:solidFill>
            <a:ln w="12600">
              <a:noFill/>
            </a:ln>
            <a:effectLst/>
          </c:spPr>
          <c:invertIfNegative val="0"/>
          <c:dLbls>
            <c:numFmt formatCode="General" sourceLinked="1"/>
            <c:txPr>
              <a:bodyPr vert="horz" rot="0" wrap="none"/>
              <a:lstStyle/>
              <a:p>
                <a:pPr algn="ctr">
                  <a:defRPr lang="en-US" sz="1000" b="0" u="none" baseline="0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1"/>
            <c:separator> </c:separator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0" cap="flat" cmpd="sng">
                      <a:solidFill>
                        <a:srgbClr val="000000"/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Ventes!$A$2:$A$13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Ventes!$D$2:$D$13</c:f>
              <c:numCache>
                <c:formatCode>General</c:formatCode>
                <c:ptCount val="12"/>
                <c:pt idx="0">
                  <c:v>8000</c:v>
                </c:pt>
                <c:pt idx="1">
                  <c:v>9000</c:v>
                </c:pt>
                <c:pt idx="2">
                  <c:v>8500</c:v>
                </c:pt>
                <c:pt idx="3">
                  <c:v>9500</c:v>
                </c:pt>
                <c:pt idx="4">
                  <c:v>10000</c:v>
                </c:pt>
                <c:pt idx="5">
                  <c:v>11000</c:v>
                </c:pt>
                <c:pt idx="6">
                  <c:v>10500</c:v>
                </c:pt>
                <c:pt idx="7">
                  <c:v>10800</c:v>
                </c:pt>
                <c:pt idx="8">
                  <c:v>11200</c:v>
                </c:pt>
                <c:pt idx="9">
                  <c:v>12000</c:v>
                </c:pt>
                <c:pt idx="10">
                  <c:v>12500</c:v>
                </c:pt>
                <c:pt idx="11">
                  <c:v>13000</c:v>
                </c:pt>
              </c:numCache>
            </c:numRef>
          </c:val>
        </c:ser>
        <c:axId val="62193701"/>
        <c:axId val="5057862"/>
      </c:barChart>
      <c:catAx>
        <c:axId val="62193701"/>
        <c:scaling>
          <c:orientation val="minMax"/>
        </c:scaling>
        <c:delete val="0"/>
        <c:axPos val="b"/>
        <c:title>
          <c:tx>
            <c:rich>
              <a:bodyPr vert="horz" rot="0" wrap="square"/>
              <a:lstStyle/>
              <a:p>
                <a:pPr>
                  <a:defRPr lang="en-US" sz="1000" b="1" u="none" baseline="0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rPr lang="en-US"/>
                  <a:t>Mois</a:t>
                </a:r>
              </a:p>
            </c:rich>
          </c:tx>
          <c:layout/>
          <c:overlay val="0"/>
          <c:spPr>
            <a:noFill/>
            <a:ln w="0"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ln w="9360" cap="flat" cmpd="sng">
            <a:solidFill>
              <a:srgbClr val="878787"/>
            </a:solidFill>
            <a:round/>
          </a:ln>
          <a:effectLst/>
        </c:spPr>
        <c:txPr>
          <a:bodyPr wrap="square"/>
          <a:lstStyle/>
          <a:p>
            <a:pPr>
              <a:defRPr lang="en-US" sz="1000" b="0" u="none" baseline="0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5057862"/>
        <c:crosses val="autoZero"/>
        <c:auto val="1"/>
        <c:lblOffset val="100"/>
        <c:noMultiLvlLbl val="0"/>
      </c:catAx>
      <c:valAx>
        <c:axId val="5057862"/>
        <c:scaling>
          <c:orientation val="minMax"/>
        </c:scaling>
        <c:delete val="0"/>
        <c:axPos val="l"/>
        <c:title>
          <c:tx>
            <c:rich>
              <a:bodyPr vert="horz" rot="-5400000" wrap="square"/>
              <a:lstStyle/>
              <a:p>
                <a:pPr>
                  <a:defRPr lang="en-US" sz="1000" b="1" u="none" baseline="0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rPr lang="en-US"/>
                  <a:t>Chiffre d'affaires</a:t>
                </a:r>
              </a:p>
            </c:rich>
          </c:tx>
          <c:layout/>
          <c:overlay val="0"/>
          <c:spPr>
            <a:noFill/>
            <a:ln w="0">
              <a:noFill/>
            </a:ln>
            <a:effectLst/>
          </c:spPr>
        </c:title>
        <c:majorGridlines>
          <c:spPr>
            <a:ln w="9360" cap="flat" cmpd="sng">
              <a:solidFill>
                <a:srgbClr val="878787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360" cap="flat" cmpd="sng">
            <a:solidFill>
              <a:srgbClr val="878787"/>
            </a:solidFill>
            <a:round/>
          </a:ln>
          <a:effectLst/>
        </c:spPr>
        <c:txPr>
          <a:bodyPr wrap="square"/>
          <a:lstStyle/>
          <a:p>
            <a:pPr>
              <a:defRPr lang="en-US" sz="1000" b="0" u="none" baseline="0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62193701"/>
        <c:crosses val="autoZero"/>
        <c:crossBetween val="between"/>
      </c:valAx>
      <c:spPr>
        <a:solidFill>
          <a:srgbClr val="FFFFFF"/>
        </a:solidFill>
        <a:ln w="0">
          <a:noFill/>
        </a:ln>
        <a:effectLst/>
      </c:spPr>
    </c:plotArea>
    <c:legend>
      <c:legendPos val="r"/>
      <c:layout/>
      <c:overlay val="0"/>
      <c:spPr>
        <a:noFill/>
        <a:ln w="0">
          <a:noFill/>
        </a:ln>
        <a:effectLst/>
      </c:spPr>
      <c:txPr>
        <a:bodyPr wrap="square"/>
        <a:lstStyle/>
        <a:p>
          <a:pPr>
            <a:defRPr lang="en-US" sz="1000" b="0" u="none" baseline="0">
              <a:solidFill>
                <a:srgbClr val="000000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 cap="flat" cmpd="sng">
      <a:solidFill>
        <a:srgbClr val="D9D9D9"/>
      </a:solidFill>
      <a:round/>
    </a:ln>
    <a:effectLst/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vert="horz" rot="0" wrap="square"/>
          <a:lstStyle/>
          <a:p>
            <a:pPr>
              <a:defRPr lang="en-US" sz="1800" b="1" u="none" baseline="0">
                <a:solidFill>
                  <a:srgbClr val="000000"/>
                </a:solidFill>
                <a:latin typeface="Calibri"/>
                <a:ea typeface="Calibri"/>
              </a:defRPr>
            </a:pPr>
            <a:r>
              <a:rPr lang="en-US"/>
              <a:t>Évolution du CA total sur l'année</a:t>
            </a:r>
          </a:p>
        </c:rich>
      </c:tx>
      <c:layout/>
      <c:overlay val="0"/>
      <c:spPr>
        <a:noFill/>
        <a:ln w="0"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Ventes!$E$1</c:f>
              <c:strCache>
                <c:ptCount val="1"/>
                <c:pt idx="0">
                  <c:v>CA Total mensuel</c:v>
                </c:pt>
              </c:strCache>
            </c:strRef>
          </c:tx>
          <c:spPr>
            <a:ln w="12600" cmpd="sng">
              <a:solidFill>
                <a:srgbClr val="4A7EBB"/>
              </a:solidFill>
              <a:round/>
            </a:ln>
            <a:effectLst/>
          </c:spPr>
          <c:marker>
            <c:symbol val="none"/>
          </c:marker>
          <c:dLbls>
            <c:numFmt formatCode="General" sourceLinked="1"/>
            <c:txPr>
              <a:bodyPr vert="horz" rot="0" wrap="none"/>
              <a:lstStyle/>
              <a:p>
                <a:pPr algn="ctr">
                  <a:defRPr lang="en-US" sz="1000" b="0" u="none" baseline="0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1"/>
            <c:separator> </c:separator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12600" cap="flat" cmpd="sng">
                      <a:solidFill>
                        <a:srgbClr val="000000"/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Ventes!$A$2:$A$13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Ventes!$E$2:$E$13</c:f>
              <c:numCache>
                <c:formatCode>General</c:formatCode>
                <c:ptCount val="12"/>
                <c:pt idx="0">
                  <c:v>35000</c:v>
                </c:pt>
                <c:pt idx="1">
                  <c:v>36000</c:v>
                </c:pt>
                <c:pt idx="2">
                  <c:v>37000</c:v>
                </c:pt>
                <c:pt idx="3">
                  <c:v>39000</c:v>
                </c:pt>
                <c:pt idx="4">
                  <c:v>41500</c:v>
                </c:pt>
                <c:pt idx="5">
                  <c:v>44000</c:v>
                </c:pt>
                <c:pt idx="6">
                  <c:v>42800</c:v>
                </c:pt>
                <c:pt idx="7">
                  <c:v>43800</c:v>
                </c:pt>
                <c:pt idx="8">
                  <c:v>44900</c:v>
                </c:pt>
                <c:pt idx="9">
                  <c:v>47000</c:v>
                </c:pt>
                <c:pt idx="10">
                  <c:v>48500</c:v>
                </c:pt>
                <c:pt idx="11">
                  <c:v>50000</c:v>
                </c:pt>
              </c:numCache>
            </c:numRef>
          </c:val>
          <c:smooth val="1"/>
        </c:ser>
        <c:hiLowLines>
          <c:spPr>
            <a:ln w="0">
              <a:noFill/>
            </a:ln>
            <a:effectLst/>
          </c:spPr>
        </c:hiLowLines>
        <c:marker val="1"/>
        <c:axId val="39607183"/>
        <c:axId val="49017439"/>
      </c:lineChart>
      <c:catAx>
        <c:axId val="39607183"/>
        <c:scaling>
          <c:orientation val="minMax"/>
        </c:scaling>
        <c:delete val="0"/>
        <c:axPos val="b"/>
        <c:title>
          <c:tx>
            <c:rich>
              <a:bodyPr vert="horz" rot="0" wrap="square"/>
              <a:lstStyle/>
              <a:p>
                <a:pPr>
                  <a:defRPr lang="en-US" sz="1000" b="1" u="none" baseline="0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rPr lang="en-US"/>
                  <a:t>Mois</a:t>
                </a:r>
              </a:p>
            </c:rich>
          </c:tx>
          <c:layout/>
          <c:overlay val="0"/>
          <c:spPr>
            <a:noFill/>
            <a:ln w="0"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ln w="9360" cap="flat" cmpd="sng">
            <a:solidFill>
              <a:srgbClr val="878787"/>
            </a:solidFill>
            <a:round/>
          </a:ln>
          <a:effectLst/>
        </c:spPr>
        <c:txPr>
          <a:bodyPr wrap="square"/>
          <a:lstStyle/>
          <a:p>
            <a:pPr>
              <a:defRPr lang="en-US" sz="1000" b="0" u="none" baseline="0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49017439"/>
        <c:crosses val="autoZero"/>
        <c:auto val="1"/>
        <c:lblOffset val="100"/>
        <c:noMultiLvlLbl val="0"/>
      </c:catAx>
      <c:valAx>
        <c:axId val="49017439"/>
        <c:scaling>
          <c:orientation val="minMax"/>
        </c:scaling>
        <c:delete val="0"/>
        <c:axPos val="l"/>
        <c:title>
          <c:tx>
            <c:rich>
              <a:bodyPr vert="horz" rot="-5400000" wrap="square"/>
              <a:lstStyle/>
              <a:p>
                <a:pPr>
                  <a:defRPr lang="en-US" sz="1000" b="1" u="none" baseline="0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  <a:r>
                  <a:rPr lang="en-US"/>
                  <a:t>CA Total</a:t>
                </a:r>
              </a:p>
            </c:rich>
          </c:tx>
          <c:layout/>
          <c:overlay val="0"/>
          <c:spPr>
            <a:noFill/>
            <a:ln w="0">
              <a:noFill/>
            </a:ln>
            <a:effectLst/>
          </c:spPr>
        </c:title>
        <c:majorGridlines>
          <c:spPr>
            <a:ln w="9360" cap="flat" cmpd="sng">
              <a:solidFill>
                <a:srgbClr val="878787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360" cap="flat" cmpd="sng">
            <a:solidFill>
              <a:srgbClr val="878787"/>
            </a:solidFill>
            <a:round/>
          </a:ln>
          <a:effectLst/>
        </c:spPr>
        <c:txPr>
          <a:bodyPr wrap="square"/>
          <a:lstStyle/>
          <a:p>
            <a:pPr>
              <a:defRPr lang="en-US" sz="1000" b="0" u="none" baseline="0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39607183"/>
        <c:crosses val="autoZero"/>
        <c:crossBetween val="between"/>
      </c:valAx>
      <c:spPr>
        <a:solidFill>
          <a:srgbClr val="FFFFFF"/>
        </a:solidFill>
        <a:ln w="0">
          <a:noFill/>
        </a:ln>
        <a:effectLst/>
      </c:spPr>
    </c:plotArea>
    <c:legend>
      <c:legendPos val="r"/>
      <c:layout/>
      <c:overlay val="0"/>
      <c:spPr>
        <a:noFill/>
        <a:ln w="0">
          <a:noFill/>
        </a:ln>
        <a:effectLst/>
      </c:spPr>
      <c:txPr>
        <a:bodyPr wrap="square"/>
        <a:lstStyle/>
        <a:p>
          <a:pPr>
            <a:defRPr lang="en-US" sz="1000" b="0" u="none" baseline="0">
              <a:solidFill>
                <a:srgbClr val="000000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 cap="flat" cmpd="sng">
      <a:solidFill>
        <a:srgbClr val="D9D9D9"/>
      </a:solidFill>
      <a:round/>
    </a:ln>
    <a:effectLst/>
  </c:spPr>
</c:chartSpace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chart" Target="../charts/chart1.xml" /><Relationship Id="rId2" Type="http://schemas.openxmlformats.org/officeDocument/2006/relationships/chart" Target="../charts/chart2.xml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xdr:twoCellAnchor editAs="oneCell">
    <xdr:from>
      <xdr:col>6</xdr:col>
      <xdr:colOff>0</xdr:colOff>
      <xdr:row>1</xdr:row>
      <xdr:rowOff>0</xdr:rowOff>
    </xdr:from>
    <xdr:to>
      <xdr:col>14</xdr:col>
      <xdr:colOff>507600</xdr:colOff>
      <xdr:row>15</xdr:row>
      <xdr:rowOff>32400</xdr:rowOff>
    </xdr:to>
    <xdr:graphicFrame>
      <xdr:nvGraphicFramePr>
        <xdr:cNvPr id="1" name="Chart 1">
          <a:extLst>
            <a:ext uri="{FF2B5EF4-FFF2-40B4-BE49-F238E27FC236}">
              <a16:creationId xmlns:a16="http://schemas.microsoft.com/office/drawing/2014/main" id="{6ba46322-203d-4c75-930e-542e4989ab71}"/>
            </a:ext>
          </a:extLst>
        </xdr:cNvPr>
        <xdr:cNvGraphicFramePr/>
      </xdr:nvGraphicFramePr>
      <xdr:xfrm>
        <a:off x="5600700" y="190500"/>
        <a:ext cx="5153025" cy="2695575"/>
      </xdr:xfrm>
      <a:graphic>
        <a:graphicData uri="http://schemas.openxmlformats.org/drawingml/2006/chart">
          <c:chart xmlns:c="http://schemas.openxmlformats.org/drawingml/2006/chart" r:id="rId1"/>
        </a:graphicData>
      </a:graphic>
    </xdr:graphicFrame>
    <xdr:clientData/>
  </xdr:twoCellAnchor>
  <xdr:twoCellAnchor editAs="oneCell">
    <xdr:from>
      <xdr:col>6</xdr:col>
      <xdr:colOff>0</xdr:colOff>
      <xdr:row>19</xdr:row>
      <xdr:rowOff>0</xdr:rowOff>
    </xdr:from>
    <xdr:to>
      <xdr:col>14</xdr:col>
      <xdr:colOff>507600</xdr:colOff>
      <xdr:row>33</xdr:row>
      <xdr:rowOff>32400</xdr:rowOff>
    </xdr:to>
    <xdr:graphicFrame>
      <xdr:nvGraphicFramePr>
        <xdr:cNvPr id="2" name="Chart 2">
          <a:extLst>
            <a:ext uri="{FF2B5EF4-FFF2-40B4-BE49-F238E27FC236}">
              <a16:creationId xmlns:a16="http://schemas.microsoft.com/office/drawing/2014/main" id="{13543b18-9321-4f18-935d-f82e975164f2}"/>
            </a:ext>
          </a:extLst>
        </xdr:cNvPr>
        <xdr:cNvGraphicFramePr/>
      </xdr:nvGraphicFramePr>
      <xdr:xfrm>
        <a:off x="5600700" y="3619500"/>
        <a:ext cx="5153025" cy="2695575"/>
      </xdr:xfrm>
      <a:graphic>
        <a:graphicData uri="http://schemas.openxmlformats.org/drawingml/2006/chart">
          <c:chart xmlns:c="http://schemas.openxmlformats.org/drawingml/2006/chart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19"/>
  <sheetViews>
    <sheetView tabSelected="1" workbookViewId="0" topLeftCell="A1">
      <selection pane="topLeft" activeCell="R19" sqref="R19"/>
    </sheetView>
  </sheetViews>
  <sheetFormatPr defaultColWidth="8.68428571428571" defaultRowHeight="15" customHeight="1"/>
  <cols>
    <col min="1" max="1" width="15.5714285714286" customWidth="1"/>
    <col min="2" max="2" width="15.4285714285714" customWidth="1"/>
    <col min="3" max="3" width="13.5714285714286" customWidth="1"/>
    <col min="4" max="4" width="22" customWidth="1"/>
  </cols>
  <sheetData>
    <row r="1" spans="1:5" ht="1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ht="15">
      <c r="A2" s="1" t="s">
        <v>5</v>
      </c>
      <c r="B2">
        <v>12000</v>
      </c>
      <c r="C2">
        <v>15000</v>
      </c>
      <c r="D2">
        <v>8000</v>
      </c>
      <c r="E2" s="1">
        <f>SUM(B2:D2)</f>
        <v>35000</v>
      </c>
    </row>
    <row r="3" spans="1:5" ht="15">
      <c r="A3" s="1" t="s">
        <v>6</v>
      </c>
      <c r="B3">
        <v>13000</v>
      </c>
      <c r="C3">
        <v>14000</v>
      </c>
      <c r="D3">
        <v>9000</v>
      </c>
      <c r="E3" s="1">
        <f>SUM(B3:D3)</f>
        <v>36000</v>
      </c>
    </row>
    <row r="4" spans="1:5" ht="15">
      <c r="A4" s="1" t="s">
        <v>7</v>
      </c>
      <c r="B4">
        <v>12500</v>
      </c>
      <c r="C4">
        <v>16000</v>
      </c>
      <c r="D4">
        <v>8500</v>
      </c>
      <c r="E4" s="1">
        <f>SUM(B4:D4)</f>
        <v>37000</v>
      </c>
    </row>
    <row r="5" spans="1:5" ht="15">
      <c r="A5" s="1" t="s">
        <v>8</v>
      </c>
      <c r="B5">
        <v>14000</v>
      </c>
      <c r="C5">
        <v>15500</v>
      </c>
      <c r="D5">
        <v>9500</v>
      </c>
      <c r="E5" s="1">
        <f>SUM(B5:D5)</f>
        <v>39000</v>
      </c>
    </row>
    <row r="6" spans="1:5" ht="15">
      <c r="A6" s="1" t="s">
        <v>9</v>
      </c>
      <c r="B6">
        <v>15000</v>
      </c>
      <c r="C6">
        <v>16500</v>
      </c>
      <c r="D6">
        <v>10000</v>
      </c>
      <c r="E6" s="1">
        <f>SUM(B6:D6)</f>
        <v>41500</v>
      </c>
    </row>
    <row r="7" spans="1:5" ht="15">
      <c r="A7" s="1" t="s">
        <v>10</v>
      </c>
      <c r="B7">
        <v>16000</v>
      </c>
      <c r="C7">
        <v>17000</v>
      </c>
      <c r="D7">
        <v>11000</v>
      </c>
      <c r="E7" s="1">
        <f>SUM(B7:D7)</f>
        <v>44000</v>
      </c>
    </row>
    <row r="8" spans="1:5" ht="15">
      <c r="A8" s="1" t="s">
        <v>11</v>
      </c>
      <c r="B8">
        <v>15500</v>
      </c>
      <c r="C8">
        <v>16800</v>
      </c>
      <c r="D8">
        <v>10500</v>
      </c>
      <c r="E8" s="1">
        <f>SUM(B8:D8)</f>
        <v>42800</v>
      </c>
    </row>
    <row r="9" spans="1:5" ht="15">
      <c r="A9" s="1" t="s">
        <v>12</v>
      </c>
      <c r="B9">
        <v>15800</v>
      </c>
      <c r="C9">
        <v>17200</v>
      </c>
      <c r="D9">
        <v>10800</v>
      </c>
      <c r="E9" s="1">
        <f>SUM(B9:D9)</f>
        <v>43800</v>
      </c>
    </row>
    <row r="10" spans="1:5" ht="15">
      <c r="A10" s="1" t="s">
        <v>13</v>
      </c>
      <c r="B10">
        <v>16200</v>
      </c>
      <c r="C10">
        <v>17500</v>
      </c>
      <c r="D10">
        <v>11200</v>
      </c>
      <c r="E10" s="1">
        <f>SUM(B10:D10)</f>
        <v>44900</v>
      </c>
    </row>
    <row r="11" spans="1:5" ht="15">
      <c r="A11" s="1" t="s">
        <v>14</v>
      </c>
      <c r="B11">
        <v>17000</v>
      </c>
      <c r="C11">
        <v>18000</v>
      </c>
      <c r="D11">
        <v>12000</v>
      </c>
      <c r="E11" s="1">
        <f>SUM(B11:D11)</f>
        <v>47000</v>
      </c>
    </row>
    <row r="12" spans="1:5" ht="15">
      <c r="A12" s="1" t="s">
        <v>15</v>
      </c>
      <c r="B12">
        <v>17500</v>
      </c>
      <c r="C12">
        <v>18500</v>
      </c>
      <c r="D12">
        <v>12500</v>
      </c>
      <c r="E12" s="1">
        <f>SUM(B12:D12)</f>
        <v>48500</v>
      </c>
    </row>
    <row r="13" spans="1:5" ht="15">
      <c r="A13" s="2" t="s">
        <v>16</v>
      </c>
      <c r="B13">
        <v>18000</v>
      </c>
      <c r="C13">
        <v>19000</v>
      </c>
      <c r="D13">
        <v>13000</v>
      </c>
      <c r="E13" s="2">
        <f>SUM(B13:D13)</f>
        <v>50000</v>
      </c>
    </row>
    <row r="15" spans="4:5" ht="15">
      <c r="D15" t="s">
        <v>17</v>
      </c>
      <c r="E15">
        <f>SUM(E2:E13)</f>
        <v>509500</v>
      </c>
    </row>
    <row r="16" spans="4:5" ht="15">
      <c r="D16" t="s">
        <v>18</v>
      </c>
      <c r="E16">
        <f>AVERAGE(E2:E13)</f>
        <v>42458.333333333299</v>
      </c>
    </row>
    <row r="17" spans="4:5" ht="15">
      <c r="D17" t="s">
        <v>19</v>
      </c>
      <c r="E17">
        <f>MIN(E2:E13)</f>
        <v>35000</v>
      </c>
    </row>
    <row r="18" spans="4:5" ht="15">
      <c r="D18" t="s">
        <v>20</v>
      </c>
      <c r="E18">
        <f>MAX(E2:E13)</f>
        <v>50000</v>
      </c>
    </row>
    <row r="19" spans="4:5" ht="15">
      <c r="D19" t="s">
        <v>21</v>
      </c>
      <c r="E19">
        <f>STDEV(E2:E13)</f>
        <v>4901.47627730357</v>
      </c>
    </row>
  </sheetData>
  <pageMargins left="0.75" right="0.75" top="1" bottom="1" header="0.511811023622047" footer="0.511811023622047"/>
  <pageSetup horizontalDpi="300" verticalDpi="300" orientation="portrait" paperSize="9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6"/>
  <sheetViews>
    <sheetView workbookViewId="0" topLeftCell="A1">
      <selection pane="topLeft" activeCell="A1" sqref="A1"/>
    </sheetView>
  </sheetViews>
  <sheetFormatPr defaultColWidth="8.68428571428571" defaultRowHeight="15" customHeight="1"/>
  <sheetData>
    <row r="1" spans="1:3" ht="15">
      <c r="A1" t="s">
        <v>22</v>
      </c>
      <c r="B1" t="s">
        <v>23</v>
      </c>
      <c r="C1" t="s">
        <v>24</v>
      </c>
    </row>
    <row r="2" spans="1:3" ht="15">
      <c r="A2" t="s">
        <v>25</v>
      </c>
      <c r="B2" t="s">
        <v>26</v>
      </c>
      <c r="C2" t="s">
        <v>27</v>
      </c>
    </row>
    <row r="3" spans="1:3" ht="15">
      <c r="A3" t="s">
        <v>28</v>
      </c>
      <c r="B3" t="s">
        <v>29</v>
      </c>
      <c r="C3" t="s">
        <v>30</v>
      </c>
    </row>
    <row r="4" spans="1:3" ht="15">
      <c r="A4" t="s">
        <v>31</v>
      </c>
      <c r="B4" t="s">
        <v>32</v>
      </c>
      <c r="C4" t="s">
        <v>33</v>
      </c>
    </row>
    <row r="5" spans="1:3" ht="15">
      <c r="A5" t="s">
        <v>34</v>
      </c>
      <c r="B5" t="s">
        <v>35</v>
      </c>
      <c r="C5" t="s">
        <v>27</v>
      </c>
    </row>
    <row r="6" spans="1:3" ht="15">
      <c r="A6" t="s">
        <v>36</v>
      </c>
      <c r="B6" t="s">
        <v>37</v>
      </c>
      <c r="C6" t="s">
        <v>30</v>
      </c>
    </row>
  </sheetData>
  <pageMargins left="0.75" right="0.75" top="1" bottom="1" header="0.511811023622047" footer="0.511811023622047"/>
  <pageSetup horizontalDpi="300" verticalDpi="300" orientation="portrait" paperSize="9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2"/>
  <sheetViews>
    <sheetView workbookViewId="0" topLeftCell="A1">
      <selection pane="topLeft" activeCell="A1" sqref="A1"/>
    </sheetView>
  </sheetViews>
  <sheetFormatPr defaultColWidth="8.68428571428571" defaultRowHeight="15" customHeight="1"/>
  <sheetData>
    <row r="1" spans="1:3" ht="15">
      <c r="A1" t="s">
        <v>22</v>
      </c>
      <c r="B1" t="s">
        <v>23</v>
      </c>
      <c r="C1" t="s">
        <v>24</v>
      </c>
    </row>
    <row r="2" spans="1:3" ht="15">
      <c r="A2" t="s">
        <v>25</v>
      </c>
      <c r="B2" t="str">
        <f>VLOOKUP(A2,Clients!A:C,2,FALSE())</f>
        <v>Alpha</v>
      </c>
      <c r="C2" t="str">
        <f>VLOOKUP(A2,Clients!A:C,3,FALSE())</f>
        <v>Europe</v>
      </c>
    </row>
  </sheetData>
  <pageMargins left="0.75" right="0.75" top="1" bottom="1" header="0.511811023622047" footer="0.511811023622047"/>
  <pageSetup horizontalDpi="300" verticalDpi="300" orientation="portrait" paperSize="9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LibreOffice/25.8.2.2$Windows_X86_64 LibreOffice_project/d401f2107ccab8f924a8e2df40f573aab7605b6f</Application>
  <AppVersion>15.0000</AppVersion>
  <DocSecurity>0</DocSecurity>
  <Template/>
  <Manager/>
  <Company/>
  <TotalTime>10</TotalTim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/>
  <dcterms:created xsi:type="dcterms:W3CDTF">2026-01-27T17:51:11Z</dcterms:created>
  <dcterms:modified xsi:type="dcterms:W3CDTF">2026-01-27T19:04:09Z</dcterms:modified>
  <cp:category/>
  <cp:revision>1</cp:revision>
  <dc:language>fr-FR</dc:language>
</cp:coreProperties>
</file>